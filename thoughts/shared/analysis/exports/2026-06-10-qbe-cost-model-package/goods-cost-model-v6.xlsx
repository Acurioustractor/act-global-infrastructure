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 Build states" sheetId="2" state="visible" r:id="rId2"/>
    <sheet xmlns:r="http://schemas.openxmlformats.org/officeDocument/2006/relationships" name="2 Verified rates" sheetId="3" state="visible" r:id="rId3"/>
    <sheet xmlns:r="http://schemas.openxmlformats.org/officeDocument/2006/relationships" name="3 Volume &amp; fully-loaded" sheetId="4" state="visible" r:id="rId4"/>
    <sheet xmlns:r="http://schemas.openxmlformats.org/officeDocument/2006/relationships" name="4 Site capex (UNVERIFIED)" sheetId="5" state="visible" r:id="rId5"/>
    <sheet xmlns:r="http://schemas.openxmlformats.org/officeDocument/2006/relationships" name="5 Demand &amp; revenue" sheetId="6" state="visible" r:id="rId6"/>
    <sheet xmlns:r="http://schemas.openxmlformats.org/officeDocument/2006/relationships" name="6 Waterfall &amp; debt" sheetId="7" state="visible" r:id="rId7"/>
    <sheet xmlns:r="http://schemas.openxmlformats.org/officeDocument/2006/relationships" name="7 Sensitivity" sheetId="8" state="visible" r:id="rId8"/>
    <sheet xmlns:r="http://schemas.openxmlformats.org/officeDocument/2006/relationships" name="8 Open item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  <color rgb="00555555"/>
      <sz val="9"/>
    </font>
    <font/>
  </fonts>
  <fills count="6">
    <fill>
      <patternFill/>
    </fill>
    <fill>
      <patternFill patternType="gray125"/>
    </fill>
    <fill>
      <patternFill patternType="solid">
        <fgColor rgb="00121212"/>
      </patternFill>
    </fill>
    <fill>
      <patternFill patternType="solid">
        <fgColor rgb="00FFF3B0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3" borderId="0" pivotButton="0" quotePrefix="0" xfId="0"/>
    <xf numFmtId="4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4" fillId="5" borderId="0" pivotButton="0" quotePrefix="0" xfId="0"/>
    <xf numFmtId="3" fontId="0" fillId="5" borderId="0" pivotButton="0" quotePrefix="0" xfId="0"/>
    <xf numFmtId="3" fontId="0" fillId="3" borderId="0" pivotButton="0" quotePrefix="0" xfId="0"/>
    <xf numFmtId="0" fontId="0" fillId="5" borderId="0" pivotButton="0" quotePrefix="0" xfId="0"/>
    <xf numFmtId="0" fontId="3" fillId="0" borderId="0" pivotButton="0" quotePrefix="0" xfId="0"/>
    <xf numFmtId="3" fontId="3" fillId="0" borderId="0" pivotButton="0" quotePrefix="0" xfId="0"/>
    <xf numFmtId="1" fontId="0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Goods on Country — bed cost model v6 (worked numbers)</t>
        </is>
      </c>
    </row>
    <row r="2">
      <c r="A2" t="inlineStr">
        <is>
          <t>Source of truth: cost-model explorer JSON, version v6 (supersedes v5), created 2026-05-28</t>
        </is>
      </c>
    </row>
    <row r="3">
      <c r="A3" t="inlineStr">
        <is>
          <t>Prepared for: Matt Allen (Social Impact Hub) / Malcolm Aikman (QA) — QBE Catalysing Impact 2026, Stage 2 prep</t>
        </is>
      </c>
    </row>
    <row r="4">
      <c r="A4" t="inlineStr"/>
    </row>
    <row r="5">
      <c r="A5" s="1" t="inlineStr">
        <is>
          <t>CONFIDENCE TAGS used throughout:</t>
        </is>
      </c>
    </row>
    <row r="6">
      <c r="A6" t="inlineStr">
        <is>
          <t xml:space="preserve">  VERIFIED — invoice / first-party document (Xero, Defy invoices, supplier quotes)</t>
        </is>
      </c>
    </row>
    <row r="7">
      <c r="A7" t="inlineStr">
        <is>
          <t xml:space="preserve">  INFERRED — computed from verified inputs + a stated assumption</t>
        </is>
      </c>
    </row>
    <row r="8">
      <c r="A8" t="inlineStr">
        <is>
          <t xml:space="preserve">  UNVERIFIED — needs a vendor quote or a founder decision; do not anchor on it</t>
        </is>
      </c>
    </row>
    <row r="9">
      <c r="A9" t="inlineStr"/>
    </row>
    <row r="10">
      <c r="A10" s="1" t="inlineStr">
        <is>
          <t>KNOWN LIMITS (stated up front, in QBE claim discipline):</t>
        </is>
      </c>
    </row>
    <row r="11">
      <c r="A11" t="inlineStr">
        <is>
          <t xml:space="preserve">  1. 3-site standalone capex ($300–450K) is UNVERIFIED — vendor quotes pending (the gating item).</t>
        </is>
      </c>
    </row>
    <row r="12">
      <c r="A12" t="inlineStr">
        <is>
          <t xml:space="preserve">  2. Debt-service table is INTEREST-ONLY. Sheet 6 adds an amortising view: at $500K/5yr the annual obligation</t>
        </is>
      </c>
    </row>
    <row r="13">
      <c r="A13" t="inlineStr">
        <is>
          <t xml:space="preserve">     (~$126K) exceeds base brokerage income (~$96K) — repayable matching capital needs patient/bullet terms,</t>
        </is>
      </c>
    </row>
    <row r="14">
      <c r="A14" t="inlineStr">
        <is>
          <t xml:space="preserve">     a longer tenor, or a smaller debt slice. We flag this rather than have you find it.</t>
        </is>
      </c>
    </row>
    <row r="15">
      <c r="A15" t="inlineStr">
        <is>
          <t xml:space="preserve">  3. Freight base $100/bed is an estimate; verified Defy pallet lines imply $101–185/bed Botany→Alice (8/pallet).</t>
        </is>
      </c>
    </row>
    <row r="16">
      <c r="A16" t="inlineStr">
        <is>
          <t xml:space="preserve">  4. Per-site throughput 250 beds/yr is a modelling assumption, not a demonstrated rate.</t>
        </is>
      </c>
    </row>
    <row r="17">
      <c r="A17" t="inlineStr">
        <is>
          <t xml:space="preserve">  5. Corporate-RAP gift price ($800) is the biggest revenue unknown — no firm anchor yet.</t>
        </is>
      </c>
    </row>
    <row r="18">
      <c r="A18" t="inlineStr">
        <is>
          <t xml:space="preserve">  6. Management data, not audited. Xero 'actual cost' extracts must follow the mis-tag cleanup (sheet 8).</t>
        </is>
      </c>
    </row>
    <row r="19">
      <c r="A19" t="inlineStr">
        <is>
          <t xml:space="preserve">  7. Year-1 utilisation 20% assumes 3 simultaneous site openings; sequential opening tells the same totals</t>
        </is>
      </c>
    </row>
    <row r="20">
      <c r="A20" t="inlineStr">
        <is>
          <t xml:space="preserve">     with a more defensible per-site story.</t>
        </is>
      </c>
    </row>
    <row r="21">
      <c r="A21" t="inlineStr"/>
    </row>
    <row r="22">
      <c r="A22" t="inlineStr">
        <is>
          <t>EDITABLE ASSUMPTION CELLS are yellow. Change them and the dependent figures recalculate.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12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>
      <c r="A1" s="2" t="inlineStr">
        <is>
          <t>State</t>
        </is>
      </c>
      <c r="B1" s="2" t="inlineStr">
        <is>
          <t>Component</t>
        </is>
      </c>
      <c r="C1" s="2" t="inlineStr">
        <is>
          <t>$ / bed</t>
        </is>
      </c>
      <c r="D1" s="2" t="inlineStr">
        <is>
          <t>Direct total</t>
        </is>
      </c>
      <c r="E1" s="2" t="inlineStr">
        <is>
          <t>Capex added</t>
        </is>
      </c>
      <c r="F1" s="2" t="inlineStr">
        <is>
          <t>Capex cumulative</t>
        </is>
      </c>
      <c r="G1" s="2" t="inlineStr">
        <is>
          <t>Beds/day</t>
        </is>
      </c>
    </row>
    <row r="2">
      <c r="A2" t="inlineStr">
        <is>
          <t>Defy Kits (buy cut+finished kits, assemble in-house)</t>
        </is>
      </c>
      <c r="B2" t="inlineStr">
        <is>
          <t>Defy bed kit (cut+finished, no hardware)</t>
        </is>
      </c>
      <c r="C2" s="3" t="n">
        <v>344.05</v>
      </c>
      <c r="D2" s="4">
        <f>SUM(C2:C7)</f>
        <v/>
      </c>
      <c r="E2" s="5" t="n">
        <v>2000</v>
      </c>
      <c r="F2" s="5" t="n">
        <v>2000</v>
      </c>
      <c r="G2" t="n">
        <v>10</v>
      </c>
    </row>
    <row r="3">
      <c r="B3" t="inlineStr">
        <is>
          <t>Steel poles (DNA Steel)</t>
        </is>
      </c>
      <c r="C3" s="3" t="n">
        <v>27</v>
      </c>
    </row>
    <row r="4">
      <c r="B4" t="inlineStr">
        <is>
          <t>Canvas (Centre Canvas)</t>
        </is>
      </c>
      <c r="C4" s="3" t="n">
        <v>93.5</v>
      </c>
    </row>
    <row r="5">
      <c r="B5" t="inlineStr">
        <is>
          <t>End caps + screws + bolts</t>
        </is>
      </c>
      <c r="C5" s="3" t="n">
        <v>5.24</v>
      </c>
    </row>
    <row r="6">
      <c r="B6" t="inlineStr">
        <is>
          <t>In-house assembly labour ($400/day ÷ 10 beds)</t>
        </is>
      </c>
      <c r="C6" s="3" t="n">
        <v>40</v>
      </c>
    </row>
    <row r="7">
      <c r="B7" t="inlineStr">
        <is>
          <t>Freight on Defy material (est)</t>
        </is>
      </c>
      <c r="C7" s="3" t="n">
        <v>25</v>
      </c>
    </row>
    <row r="9">
      <c r="A9" t="inlineStr">
        <is>
          <t>Defy Panels (buy panels, CNC + assemble)</t>
        </is>
      </c>
      <c r="B9" t="inlineStr">
        <is>
          <t>Defy pre-pressed panels (2 × $200)</t>
        </is>
      </c>
      <c r="C9" s="3" t="n">
        <v>400</v>
      </c>
      <c r="D9" s="4">
        <f>SUM(C9:C14)</f>
        <v/>
      </c>
      <c r="E9" s="5" t="n">
        <v>38000</v>
      </c>
      <c r="F9" s="5" t="n">
        <v>40000</v>
      </c>
      <c r="G9" t="n">
        <v>4</v>
      </c>
    </row>
    <row r="10">
      <c r="B10" t="inlineStr">
        <is>
          <t>Steel poles</t>
        </is>
      </c>
      <c r="C10" s="3" t="n">
        <v>27</v>
      </c>
    </row>
    <row r="11">
      <c r="B11" t="inlineStr">
        <is>
          <t>Canvas</t>
        </is>
      </c>
      <c r="C11" s="3" t="n">
        <v>93.5</v>
      </c>
    </row>
    <row r="12">
      <c r="B12" t="inlineStr">
        <is>
          <t>End caps + screws + bolts</t>
        </is>
      </c>
      <c r="C12" s="3" t="n">
        <v>5.24</v>
      </c>
    </row>
    <row r="13">
      <c r="B13" t="inlineStr">
        <is>
          <t>Diesel (CNC only, no pressing)</t>
        </is>
      </c>
      <c r="C13" s="3" t="n">
        <v>5</v>
      </c>
    </row>
    <row r="14">
      <c r="B14" t="inlineStr">
        <is>
          <t>Labour ($400/day ÷ 7.5 beds)</t>
        </is>
      </c>
      <c r="C14" s="3" t="n">
        <v>53.33</v>
      </c>
    </row>
    <row r="16">
      <c r="A16" t="inlineStr">
        <is>
          <t>Factory (raw shred → press → CNC → assemble in-house)</t>
        </is>
      </c>
      <c r="B16" t="inlineStr">
        <is>
          <t>HDPE shred 20kg @ $2.75/kg (incl delivery)</t>
        </is>
      </c>
      <c r="C16" s="3" t="n">
        <v>55</v>
      </c>
      <c r="D16" s="4">
        <f>SUM(C16:C21)</f>
        <v/>
      </c>
      <c r="E16" s="5" t="n">
        <v>160000</v>
      </c>
      <c r="F16" s="5" t="n">
        <v>200000</v>
      </c>
      <c r="G16" t="n">
        <v>4</v>
      </c>
    </row>
    <row r="17">
      <c r="B17" t="inlineStr">
        <is>
          <t>Diesel (25L/day ÷ 5 beds press + CNC)</t>
        </is>
      </c>
      <c r="C17" s="3" t="n">
        <v>15</v>
      </c>
    </row>
    <row r="18">
      <c r="B18" t="inlineStr">
        <is>
          <t>Labour ($400/day ÷ 5 beds)</t>
        </is>
      </c>
      <c r="C18" s="3" t="n">
        <v>80</v>
      </c>
    </row>
    <row r="19">
      <c r="B19" t="inlineStr">
        <is>
          <t>Steel poles</t>
        </is>
      </c>
      <c r="C19" s="3" t="n">
        <v>27</v>
      </c>
    </row>
    <row r="20">
      <c r="B20" t="inlineStr">
        <is>
          <t>Canvas</t>
        </is>
      </c>
      <c r="C20" s="3" t="n">
        <v>93.5</v>
      </c>
    </row>
    <row r="21">
      <c r="B21" t="inlineStr">
        <is>
          <t>End caps + screws + bolts</t>
        </is>
      </c>
      <c r="C21" s="3" t="n">
        <v>5.24</v>
      </c>
    </row>
    <row r="23">
      <c r="A23" t="inlineStr">
        <is>
          <t>Community (waste plastic free, fair-wage paid work)</t>
        </is>
      </c>
      <c r="B23" t="inlineStr">
        <is>
          <t>Community-collected plastic (free feedstock)</t>
        </is>
      </c>
      <c r="C23" s="3" t="n">
        <v>0</v>
      </c>
      <c r="D23" s="4">
        <f>SUM(C23:C28)</f>
        <v/>
      </c>
      <c r="E23" s="5" t="n">
        <v>30000</v>
      </c>
      <c r="F23" s="5" t="n">
        <v>230000</v>
      </c>
      <c r="G23" t="n">
        <v>5</v>
      </c>
    </row>
    <row r="24">
      <c r="B24" t="inlineStr">
        <is>
          <t>Diesel (generator)</t>
        </is>
      </c>
      <c r="C24" s="3" t="n">
        <v>15</v>
      </c>
    </row>
    <row r="25">
      <c r="B25" t="inlineStr">
        <is>
          <t>Steel poles</t>
        </is>
      </c>
      <c r="C25" s="3" t="n">
        <v>27</v>
      </c>
    </row>
    <row r="26">
      <c r="B26" t="inlineStr">
        <is>
          <t>Canvas</t>
        </is>
      </c>
      <c r="C26" s="3" t="n">
        <v>93.5</v>
      </c>
    </row>
    <row r="27">
      <c r="B27" t="inlineStr">
        <is>
          <t>End caps + screws + bolts</t>
        </is>
      </c>
      <c r="C27" s="3" t="n">
        <v>5.24</v>
      </c>
    </row>
    <row r="28">
      <c r="B28" t="inlineStr">
        <is>
          <t>Community labour (fair wage)</t>
        </is>
      </c>
      <c r="C28" s="3" t="n">
        <v>130</v>
      </c>
    </row>
    <row r="31">
      <c r="A31" s="6" t="inlineStr">
        <is>
          <t>Component costs are editable (yellow); totals are live SUM formulas.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50" customWidth="1" min="3" max="3"/>
    <col width="14" customWidth="1" min="4" max="4"/>
  </cols>
  <sheetData>
    <row r="1">
      <c r="A1" s="2" t="inlineStr">
        <is>
          <t>Item</t>
        </is>
      </c>
      <c r="B1" s="2" t="inlineStr">
        <is>
          <t>Rate ($)</t>
        </is>
      </c>
      <c r="C1" s="2" t="inlineStr">
        <is>
          <t>Source</t>
        </is>
      </c>
      <c r="D1" s="2" t="inlineStr">
        <is>
          <t>Confidence</t>
        </is>
      </c>
    </row>
    <row r="2">
      <c r="A2" t="inlineStr">
        <is>
          <t>bed_kit_cut_finished</t>
        </is>
      </c>
      <c r="B2" s="7" t="n">
        <v>344.05</v>
      </c>
      <c r="C2" t="inlineStr">
        <is>
          <t>INV-1602 (92 kits) + INV-1732 (50 kits)</t>
        </is>
      </c>
      <c r="D2" s="8" t="inlineStr">
        <is>
          <t>verified</t>
        </is>
      </c>
    </row>
    <row r="3">
      <c r="A3" t="inlineStr">
        <is>
          <t>pre_pressed_panel_each</t>
        </is>
      </c>
      <c r="B3" s="7" t="n">
        <v>200</v>
      </c>
      <c r="C3" t="inlineStr">
        <is>
          <t>INV-1731 (20 panels bulk, 1200×1200×19mm)</t>
        </is>
      </c>
      <c r="D3" s="8" t="inlineStr">
        <is>
          <t>verified</t>
        </is>
      </c>
    </row>
    <row r="4">
      <c r="A4" t="inlineStr">
        <is>
          <t>cut_and_finish_only</t>
        </is>
      </c>
      <c r="B4" s="7" t="n">
        <v>121</v>
      </c>
      <c r="C4" t="inlineStr">
        <is>
          <t>INV-1602 (16 beds, pre-purchased sheets)</t>
        </is>
      </c>
      <c r="D4" s="8" t="inlineStr">
        <is>
          <t>verified</t>
        </is>
      </c>
    </row>
    <row r="5">
      <c r="A5" t="inlineStr">
        <is>
          <t>assembly_labour</t>
        </is>
      </c>
      <c r="B5" s="7" t="n">
        <v>55.95</v>
      </c>
      <c r="C5" t="inlineStr">
        <is>
          <t>2026-03-19 line</t>
        </is>
      </c>
      <c r="D5" s="8" t="inlineStr">
        <is>
          <t>verified</t>
        </is>
      </c>
    </row>
    <row r="6">
      <c r="A6" t="inlineStr">
        <is>
          <t>hdpe_shred_per_kg</t>
        </is>
      </c>
      <c r="B6" s="7" t="n">
        <v>2</v>
      </c>
      <c r="C6" t="inlineStr">
        <is>
          <t>INV-1731 (1200kg bulk bag)</t>
        </is>
      </c>
      <c r="D6" s="8" t="inlineStr">
        <is>
          <t>verified</t>
        </is>
      </c>
    </row>
    <row r="7">
      <c r="A7" t="inlineStr">
        <is>
          <t>delivery_per_kg</t>
        </is>
      </c>
      <c r="B7" s="7" t="n">
        <v>0.75</v>
      </c>
      <c r="C7" t="inlineStr">
        <is>
          <t>INV-1731 ($900 delivery / 1200kg)</t>
        </is>
      </c>
      <c r="D7" s="8" t="inlineStr">
        <is>
          <t>verified</t>
        </is>
      </c>
    </row>
    <row r="8">
      <c r="A8" t="inlineStr">
        <is>
          <t>physics: hdpe_density_g_per_cm3</t>
        </is>
      </c>
      <c r="B8" t="n">
        <v>0.96</v>
      </c>
    </row>
    <row r="9">
      <c r="A9" t="inlineStr">
        <is>
          <t>physics: hdpe_kg_per_bed</t>
        </is>
      </c>
      <c r="B9" t="n">
        <v>20</v>
      </c>
    </row>
    <row r="10">
      <c r="A10" t="inlineStr">
        <is>
          <t>physics: raw_hdpe_cost_per_bed_no_delivery</t>
        </is>
      </c>
      <c r="B10" t="n">
        <v>40</v>
      </c>
    </row>
    <row r="11">
      <c r="A11" t="inlineStr">
        <is>
          <t>physics: raw_hdpe_cost_per_bed_with_delivery</t>
        </is>
      </c>
      <c r="B11" t="n">
        <v>55</v>
      </c>
    </row>
    <row r="12">
      <c r="A12" t="inlineStr">
        <is>
          <t>labour: production_operator_per_day</t>
        </is>
      </c>
      <c r="B12" t="n">
        <v>400</v>
      </c>
    </row>
    <row r="13">
      <c r="A13" t="inlineStr">
        <is>
          <t>labour: production_operator_per_hour</t>
        </is>
      </c>
      <c r="B13" t="n">
        <v>50</v>
      </c>
    </row>
    <row r="14">
      <c r="A14" t="inlineStr">
        <is>
          <t>labour: kirmos_facility_per_hour</t>
        </is>
      </c>
      <c r="B14" t="n">
        <v>45</v>
      </c>
    </row>
    <row r="15">
      <c r="A15" t="inlineStr">
        <is>
          <t>labour: kirmos_monthly_50pct_to_beds</t>
        </is>
      </c>
      <c r="B15" t="n">
        <v>2250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Volume</t>
        </is>
      </c>
      <c r="B1" s="2" t="inlineStr">
        <is>
          <t>S2 Defy kits</t>
        </is>
      </c>
      <c r="C1" s="2" t="inlineStr">
        <is>
          <t>S3 Defy panels</t>
        </is>
      </c>
      <c r="D1" s="2" t="inlineStr">
        <is>
          <t>S4 Factory</t>
        </is>
      </c>
      <c r="E1" s="2" t="inlineStr">
        <is>
          <t>S5 Community</t>
        </is>
      </c>
    </row>
    <row r="2">
      <c r="A2" t="inlineStr">
        <is>
          <t>100/yr today</t>
        </is>
      </c>
      <c r="B2" s="5" t="n">
        <v>1780</v>
      </c>
      <c r="C2" s="5" t="n">
        <v>1829</v>
      </c>
      <c r="D2" s="5" t="n">
        <v>1521</v>
      </c>
      <c r="E2" s="5" t="n">
        <v>1516</v>
      </c>
    </row>
    <row r="3">
      <c r="A3" t="inlineStr">
        <is>
          <t>500/yr target</t>
        </is>
      </c>
      <c r="B3" s="5" t="n">
        <v>854</v>
      </c>
      <c r="C3" s="5" t="n">
        <v>903</v>
      </c>
      <c r="D3" s="5" t="n">
        <v>595</v>
      </c>
      <c r="E3" s="5" t="n">
        <v>590</v>
      </c>
    </row>
    <row r="4">
      <c r="A4" t="inlineStr">
        <is>
          <t>1,000/yr vision</t>
        </is>
      </c>
      <c r="B4" s="5" t="n">
        <v>724</v>
      </c>
      <c r="C4" s="5" t="n">
        <v>774</v>
      </c>
      <c r="D4" s="5" t="n">
        <v>465</v>
      </c>
      <c r="E4" s="5" t="n">
        <v>460</v>
      </c>
    </row>
    <row r="5">
      <c r="A5" s="6" t="inlineStr">
        <is>
          <t>Fully-loaded = direct + founder production overhead + admin + field travel + freight (volume-scaled).</t>
        </is>
      </c>
    </row>
    <row r="7">
      <c r="A7" s="1" t="inlineStr">
        <is>
          <t>v6 3-site volume ramp (Decision 8)</t>
        </is>
      </c>
    </row>
    <row r="8">
      <c r="A8" s="2" t="inlineStr">
        <is>
          <t>Year</t>
        </is>
      </c>
      <c r="B8" s="2" t="inlineStr">
        <is>
          <t>Beds</t>
        </is>
      </c>
      <c r="C8" s="2" t="inlineStr">
        <is>
          <t>Per site (÷3)</t>
        </is>
      </c>
      <c r="D8" s="2" t="inlineStr">
        <is>
          <t>Utilisation %</t>
        </is>
      </c>
    </row>
    <row r="9">
      <c r="A9" t="inlineStr">
        <is>
          <t>Year 1</t>
        </is>
      </c>
      <c r="B9" t="n">
        <v>150</v>
      </c>
      <c r="C9" t="n">
        <v>50</v>
      </c>
      <c r="D9" t="n">
        <v>20</v>
      </c>
    </row>
    <row r="10">
      <c r="A10" t="inlineStr">
        <is>
          <t>Year 2</t>
        </is>
      </c>
      <c r="B10" t="n">
        <v>400</v>
      </c>
      <c r="C10" t="n">
        <v>133</v>
      </c>
      <c r="D10" t="n">
        <v>53</v>
      </c>
    </row>
    <row r="11">
      <c r="A11" t="inlineStr">
        <is>
          <t>Year 3</t>
        </is>
      </c>
      <c r="B11" t="n">
        <v>600</v>
      </c>
      <c r="C11" t="n">
        <v>200</v>
      </c>
      <c r="D11" t="n">
        <v>80</v>
      </c>
    </row>
    <row r="12">
      <c r="A12" s="9" t="inlineStr">
        <is>
          <t>Per-site capacity 250/yr is a MODELLING ASSUMPTION.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2" t="inlineStr"/>
      <c r="B1" s="2" t="inlineStr">
        <is>
          <t>Low</t>
        </is>
      </c>
      <c r="C1" s="2" t="inlineStr">
        <is>
          <t>Medium</t>
        </is>
      </c>
      <c r="D1" s="2" t="inlineStr">
        <is>
          <t>High</t>
        </is>
      </c>
    </row>
    <row r="2">
      <c r="A2" t="inlineStr">
        <is>
          <t>Per-site kit</t>
        </is>
      </c>
      <c r="B2" s="10" t="n">
        <v>100000</v>
      </c>
      <c r="C2" s="10" t="n">
        <v>125000</v>
      </c>
      <c r="D2" s="10" t="n">
        <v>150000</v>
      </c>
    </row>
    <row r="3">
      <c r="A3" t="inlineStr">
        <is>
          <t>× 3 sites</t>
        </is>
      </c>
      <c r="B3" s="10" t="n">
        <v>300000</v>
      </c>
      <c r="C3" s="10" t="n">
        <v>375000</v>
      </c>
      <c r="D3" s="10" t="n">
        <v>450000</v>
      </c>
    </row>
    <row r="5">
      <c r="A5" s="6" t="inlineStr">
        <is>
          <t>v6: a community/standalone site is a smaller plant than the central factory. Three sites modelled. UNVERIFIED — needs vendor quotes. vs v5 single factory $112-222K → ~1.5-2x for 3 distributed sites.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</cols>
  <sheetData>
    <row r="1">
      <c r="A1" s="2" t="inlineStr">
        <is>
          <t>Segment</t>
        </is>
      </c>
      <c r="B1" s="2" t="inlineStr">
        <is>
          <t>Share %</t>
        </is>
      </c>
      <c r="C1" s="2" t="inlineStr">
        <is>
          <t>Price/bed (edit)</t>
        </is>
      </c>
      <c r="D1" s="2" t="inlineStr">
        <is>
          <t>Confidence</t>
        </is>
      </c>
      <c r="E1" s="2" t="inlineStr">
        <is>
          <t>Y1 beds</t>
        </is>
      </c>
      <c r="F1" s="2" t="inlineStr">
        <is>
          <t>Y2 beds</t>
        </is>
      </c>
      <c r="G1" s="2" t="inlineStr">
        <is>
          <t>Y3 beds</t>
        </is>
      </c>
      <c r="H1" s="2" t="inlineStr">
        <is>
          <t>3yr revenue</t>
        </is>
      </c>
    </row>
    <row r="2">
      <c r="A2" t="inlineStr">
        <is>
          <t>Institutional</t>
        </is>
      </c>
      <c r="B2" t="n">
        <v>40</v>
      </c>
      <c r="C2" s="11" t="n">
        <v>801</v>
      </c>
      <c r="D2" s="8" t="inlineStr">
        <is>
          <t>verified</t>
        </is>
      </c>
      <c r="E2" t="n">
        <v>60</v>
      </c>
      <c r="F2" t="n">
        <v>160</v>
      </c>
      <c r="G2" t="n">
        <v>240</v>
      </c>
      <c r="H2" s="5">
        <f>C2*SUM(E2:G2)</f>
        <v/>
      </c>
    </row>
    <row r="3">
      <c r="A3" t="inlineStr">
        <is>
          <t>Retail / corporate-RAP gift</t>
        </is>
      </c>
      <c r="B3" t="n">
        <v>40</v>
      </c>
      <c r="C3" s="11" t="n">
        <v>800</v>
      </c>
      <c r="D3" s="12" t="inlineStr">
        <is>
          <t>unverified</t>
        </is>
      </c>
      <c r="E3" t="n">
        <v>60</v>
      </c>
      <c r="F3" t="n">
        <v>160</v>
      </c>
      <c r="G3" t="n">
        <v>240</v>
      </c>
      <c r="H3" s="5">
        <f>C3*SUM(E3:G3)</f>
        <v/>
      </c>
    </row>
    <row r="4">
      <c r="A4" t="inlineStr">
        <is>
          <t>Community / humanitarian</t>
        </is>
      </c>
      <c r="B4" t="n">
        <v>20</v>
      </c>
      <c r="C4" s="11" t="n">
        <v>400</v>
      </c>
      <c r="D4" t="inlineStr">
        <is>
          <t>inferred</t>
        </is>
      </c>
      <c r="E4" t="n">
        <v>30</v>
      </c>
      <c r="F4" t="n">
        <v>80</v>
      </c>
      <c r="G4" t="n">
        <v>120</v>
      </c>
      <c r="H4" s="5">
        <f>C4*SUM(E4:G4)</f>
        <v/>
      </c>
    </row>
    <row r="5">
      <c r="A5" s="13" t="inlineStr">
        <is>
          <t>3-YEAR TOTAL</t>
        </is>
      </c>
      <c r="H5" s="14">
        <f>SUM(H2:H4)</f>
        <v/>
      </c>
    </row>
    <row r="6">
      <c r="A6" s="6" t="inlineStr">
        <is>
          <t>Band: $759,000 – $1,035,000 (gift price is the biggest unknown)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0" customWidth="1" min="3" max="3"/>
  </cols>
  <sheetData>
    <row r="1">
      <c r="A1" s="1" t="inlineStr">
        <is>
          <t>INPUTS (yellow — edit these)</t>
        </is>
      </c>
    </row>
    <row r="2">
      <c r="A2" t="inlineStr">
        <is>
          <t>Sale price ($/bed)</t>
        </is>
      </c>
      <c r="B2" s="11" t="n">
        <v>801</v>
      </c>
      <c r="C2" s="6" t="inlineStr">
        <is>
          <t>verified anchor: Centrecorp INV-0291 $801</t>
        </is>
      </c>
    </row>
    <row r="3">
      <c r="A3" t="inlineStr">
        <is>
          <t>COGS — community state ($/bed)</t>
        </is>
      </c>
      <c r="B3" s="11" t="n">
        <v>270.74</v>
      </c>
      <c r="C3" s="6" t="inlineStr">
        <is>
          <t>inferred (sheet 1, State 5)</t>
        </is>
      </c>
    </row>
    <row r="4">
      <c r="A4" t="inlineStr">
        <is>
          <t>Freight ($/bed)</t>
        </is>
      </c>
      <c r="B4" s="15" t="n">
        <v>100</v>
      </c>
      <c r="C4" s="6" t="inlineStr">
        <is>
          <t>ESTIMATE — verified pallet lines imply $101–185 Botany→Alice</t>
        </is>
      </c>
    </row>
    <row r="5">
      <c r="A5" t="inlineStr">
        <is>
          <t>ACT brokerage ($/bed)</t>
        </is>
      </c>
      <c r="B5" s="11" t="n">
        <v>200</v>
      </c>
      <c r="C5" s="6" t="inlineStr">
        <is>
          <t>slider 60–500; must flex DOWN in a downside (floor ~$100)</t>
        </is>
      </c>
    </row>
    <row r="6">
      <c r="A6" t="inlineStr">
        <is>
          <t>Cashflow buffer ($/bed)</t>
        </is>
      </c>
      <c r="B6" s="15" t="n">
        <v>30</v>
      </c>
      <c r="C6" s="6" t="inlineStr">
        <is>
          <t>4-state buffer policy</t>
        </is>
      </c>
    </row>
    <row r="7">
      <c r="A7" t="inlineStr">
        <is>
          <t>Revenue beds / yr (Y3, 80% of vol)</t>
        </is>
      </c>
      <c r="B7" s="11" t="n">
        <v>480</v>
      </c>
      <c r="C7" s="6" t="inlineStr">
        <is>
          <t>institutional + gift segments only</t>
        </is>
      </c>
    </row>
    <row r="8">
      <c r="A8" t="inlineStr">
        <is>
          <t>Debt drawn ($)</t>
        </is>
      </c>
      <c r="B8" s="11" t="n">
        <v>500000</v>
      </c>
      <c r="C8" s="6" t="inlineStr">
        <is>
          <t>range 250,000–500,000</t>
        </is>
      </c>
    </row>
    <row r="9">
      <c r="A9" t="inlineStr">
        <is>
          <t>Interest rate (%)</t>
        </is>
      </c>
      <c r="B9" s="15" t="n">
        <v>7</v>
      </c>
      <c r="C9" s="6" t="inlineStr">
        <is>
          <t>range 5–7%</t>
        </is>
      </c>
    </row>
    <row r="10">
      <c r="A10" t="inlineStr">
        <is>
          <t>Amortisation term (yrs, 0 = interest-only)</t>
        </is>
      </c>
      <c r="B10" s="15" t="n">
        <v>0</v>
      </c>
      <c r="C10" s="6" t="inlineStr">
        <is>
          <t>v6 tables are interest-only; set 3 or 5 to see amortising reality</t>
        </is>
      </c>
    </row>
    <row r="12">
      <c r="A12" s="1" t="inlineStr">
        <is>
          <t>PER-BED WATERFALL (computed)</t>
        </is>
      </c>
    </row>
    <row r="13">
      <c r="A13" t="inlineStr">
        <is>
          <t>Landed margin ($/bed)</t>
        </is>
      </c>
      <c r="B13" s="4">
        <f>B2-B3-B4</f>
        <v/>
      </c>
    </row>
    <row r="14">
      <c r="A14" t="inlineStr">
        <is>
          <t>Community co-op margin ($/bed)</t>
        </is>
      </c>
      <c r="B14" s="4">
        <f>B2-B3-B4-B5-B6</f>
        <v/>
      </c>
    </row>
    <row r="15">
      <c r="A15" t="inlineStr">
        <is>
          <t>Community total benefit ($/bed, incl labour)</t>
        </is>
      </c>
      <c r="B15" s="4">
        <f>130+B2-B3-B4-B5-B6</f>
        <v/>
      </c>
    </row>
    <row r="16">
      <c r="A16" t="inlineStr">
        <is>
          <t>ACT brokerage income ($/yr)</t>
        </is>
      </c>
      <c r="B16" s="4">
        <f>B5*B7</f>
        <v/>
      </c>
    </row>
    <row r="17">
      <c r="A17" t="inlineStr">
        <is>
          <t>Interest-only debt service ($/yr)</t>
        </is>
      </c>
      <c r="B17" s="4">
        <f>B8*B9/100</f>
        <v/>
      </c>
    </row>
    <row r="18">
      <c r="A18" t="inlineStr">
        <is>
          <t>Amortising payment ($/yr, term&gt;0)</t>
        </is>
      </c>
      <c r="B18" s="4">
        <f>IF(B10=0, B8*B9/100, B8*(B9/100)/(1-(1+B9/100)^-B10))</f>
        <v/>
      </c>
    </row>
    <row r="19">
      <c r="A19" t="inlineStr">
        <is>
          <t>Coverage — interest-only (×)</t>
        </is>
      </c>
      <c r="B19" s="4">
        <f>(B5*B7)/(B8*B9/100)</f>
        <v/>
      </c>
    </row>
    <row r="20">
      <c r="A20" t="inlineStr">
        <is>
          <t>Coverage — amortising (×)</t>
        </is>
      </c>
      <c r="B20" s="4">
        <f>IF(B10=0,"n/a",(B5*B7)/(B8*(B9/100)/(1-(1+B9/100)^-B10)))</f>
        <v/>
      </c>
    </row>
    <row r="22">
      <c r="A22" s="6" t="inlineStr">
        <is>
          <t>FINDING: at $500K amortised over 5 yrs the payment (~$122K/yr) exceeds base brokerage income ($96K/yr).</t>
        </is>
      </c>
    </row>
    <row r="23">
      <c r="A23" s="6" t="inlineStr">
        <is>
          <t>Repayable matching capital therefore needs patient/bullet terms, a longer tenor, or a smaller debt slice.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6" t="inlineStr">
        <is>
          <t>Dials (±20%)</t>
        </is>
      </c>
      <c r="B1" s="17" t="inlineStr">
        <is>
          <t>volume, community_labour, institutional_price, per_site_capex, defy_hdpe_kit</t>
        </is>
      </c>
    </row>
    <row r="2">
      <c r="A2" s="16" t="inlineStr">
        <is>
          <t>Defy kit dial → community state</t>
        </is>
      </c>
      <c r="B2" s="17" t="inlineStr">
        <is>
          <t>zero — free collected plastic decouples community COGS from Defy pricing</t>
        </is>
      </c>
    </row>
    <row r="3">
      <c r="A3" s="16" t="inlineStr"/>
      <c r="B3" s="17" t="inlineStr"/>
    </row>
    <row r="4">
      <c r="A4" s="13" t="inlineStr">
        <is>
          <t>3-WAY JOINT DOWNSIDE (load-bearing)</t>
        </is>
      </c>
      <c r="B4" s="17" t="inlineStr">
        <is>
          <t>volume -20%, institutional price -20%, labour +20%</t>
        </is>
      </c>
    </row>
    <row r="5">
      <c r="A5" s="16" t="inlineStr">
        <is>
          <t>Community co-op margin under downside</t>
        </is>
      </c>
      <c r="B5" s="17" t="inlineStr">
        <is>
          <t>~$14/bed (collapses)</t>
        </is>
      </c>
    </row>
    <row r="6">
      <c r="A6" s="16" t="inlineStr">
        <is>
          <t>ACT debt still serviced</t>
        </is>
      </c>
      <c r="B6" s="17" t="inlineStr">
        <is>
          <t>True</t>
        </is>
      </c>
    </row>
    <row r="7">
      <c r="A7" s="16" t="inlineStr">
        <is>
          <t>Implication</t>
        </is>
      </c>
      <c r="B7" s="17" t="inlineStr">
        <is>
          <t>Under the joint downside the community co-op margin collapses to ~$14/bed while ACT debt is still serviced. Therefore the act_brokerage slider MUST FLEX DOWN in a downside (step to ~100/bed when margin/bed falls below a floor) or it crushes the community. This flex is the key CDFI/equity design point.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24" customWidth="1" min="3" max="3"/>
  </cols>
  <sheetData>
    <row r="1">
      <c r="A1" s="1" t="inlineStr">
        <is>
          <t>Open questions for Defy (supplier)</t>
        </is>
      </c>
    </row>
    <row r="2">
      <c r="A2" s="18" t="inlineStr">
        <is>
          <t>Volume quote at 100 / 500 / 1,000 / 5,000 beds/yr — what does $344.05/bed kit become?</t>
        </is>
      </c>
    </row>
    <row r="3">
      <c r="A3" s="18" t="inlineStr">
        <is>
          <t>Build-to-supply: cheaper if ACT sources steel (DNA Steel) + canvas (Centre Canvas) direct and supplies to Defy for kit-assembly only?</t>
        </is>
      </c>
    </row>
    <row r="4">
      <c r="A4" s="18" t="inlineStr">
        <is>
          <t>In-house assembly payback: at what volume does taking the $55.95/bed assembly in-house pay back the $90K-$200K capex?</t>
        </is>
      </c>
    </row>
    <row r="5">
      <c r="A5" s="18" t="inlineStr">
        <is>
          <t>Confirm INV-1731 freight (3 × $450 = $1,350) Sydney → Sunshine Coast for 1200kg shred + 20 panels?</t>
        </is>
      </c>
    </row>
    <row r="7">
      <c r="A7" s="1" t="inlineStr">
        <is>
          <t>Xero mis-tags to fix BEFORE any 'actual cost' extract</t>
        </is>
      </c>
    </row>
    <row r="8">
      <c r="A8" s="18" t="inlineStr">
        <is>
          <t>Centre Canvas (3 bills) (ACT-IN → ACT-GD)</t>
        </is>
      </c>
      <c r="B8" s="5" t="n">
        <v>14915</v>
      </c>
      <c r="C8" t="inlineStr">
        <is>
          <t>ACT-GD</t>
        </is>
      </c>
    </row>
    <row r="9">
      <c r="A9" s="18" t="inlineStr">
        <is>
          <t>Coastal Fasteners screws (ACT-FM → ACT-GD or split)</t>
        </is>
      </c>
      <c r="B9" s="5" t="n">
        <v>131</v>
      </c>
      <c r="C9" t="inlineStr">
        <is>
          <t>ACT-GD or split</t>
        </is>
      </c>
    </row>
    <row r="10">
      <c r="A10" s="18" t="inlineStr">
        <is>
          <t>Defy Washing Machine Cladding (ACT-GD → ACT-FM)</t>
        </is>
      </c>
      <c r="B10" s="5" t="n">
        <v>25000</v>
      </c>
      <c r="C10" t="inlineStr">
        <is>
          <t>ACT-FM</t>
        </is>
      </c>
    </row>
    <row r="11">
      <c r="A11" s="18" t="inlineStr">
        <is>
          <t>Defy Coasters (ACT-GD → ACT-EL)</t>
        </is>
      </c>
      <c r="B11" s="5" t="n">
        <v>10000</v>
      </c>
      <c r="C11" t="inlineStr">
        <is>
          <t>ACT-EL</t>
        </is>
      </c>
    </row>
    <row r="12">
      <c r="A12" s="18" t="inlineStr">
        <is>
          <t>Defy Design/R&amp;D (ACT-GD bed-COGS → ACT-GD capital/R&amp;D)</t>
        </is>
      </c>
      <c r="B12" s="5" t="n">
        <v>7000</v>
      </c>
      <c r="C12" t="inlineStr">
        <is>
          <t>ACT-GD capital/R&amp;D</t>
        </is>
      </c>
    </row>
    <row r="13">
      <c r="A13" s="18" t="inlineStr">
        <is>
          <t>Utopia trip flights/accom (ACT-IN → ACT-GD)</t>
        </is>
      </c>
      <c r="B13" s="5" t="n">
        <v>24507</v>
      </c>
      <c r="C13" t="inlineStr">
        <is>
          <t>ACT-GD</t>
        </is>
      </c>
    </row>
    <row r="14">
      <c r="A14" s="18" t="inlineStr">
        <is>
          <t>1300 Washer (ACT-GD → ACT-FM)</t>
        </is>
      </c>
      <c r="B14" s="5" t="n">
        <v>13980</v>
      </c>
      <c r="C14" t="inlineStr">
        <is>
          <t>ACT-FM</t>
        </is>
      </c>
    </row>
    <row r="15">
      <c r="A15" s="18" t="inlineStr">
        <is>
          <t>Carla Furnishers duplicate (ACT-GD → VOID DUPLICATE)</t>
        </is>
      </c>
      <c r="B15" s="5" t="n">
        <v>11180</v>
      </c>
      <c r="C15" t="inlineStr">
        <is>
          <t>VOID DUPLICATE</t>
        </is>
      </c>
    </row>
    <row r="16">
      <c r="A16" s="18" t="inlineStr">
        <is>
          <t>R M Tanner Triple Axle (Weave Bed era, different project) (ACT-GD → Different project — remove from ACT-GD)</t>
        </is>
      </c>
      <c r="B16" s="5" t="n">
        <v>19950</v>
      </c>
      <c r="C16" t="inlineStr">
        <is>
          <t>Different project — remove from ACT-GD</t>
        </is>
      </c>
    </row>
    <row r="17">
      <c r="A17" s="18" t="inlineStr">
        <is>
          <t>Zinus Australia (Basket Bed v1 mattress toppers) (ACT-GD → ACT-GD-archive (Basket Bed v1, discontinued))</t>
        </is>
      </c>
      <c r="B17" s="5" t="n">
        <v>28690</v>
      </c>
      <c r="C17" t="inlineStr">
        <is>
          <t>ACT-GD-archive (Basket Bed v1, discontinued)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2026-06-10T03:14:42Z</dcterms:created>
  <dcterms:modified xmlns:dcterms="http://purl.org/dc/terms/" xmlns:xsi="http://www.w3.org/2001/XMLSchema-instance" xsi:type="dcterms:W3CDTF">2026-06-10T03:14:42Z</dcterms:modified>
</cp:coreProperties>
</file>